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ool\Downloads\"/>
    </mc:Choice>
  </mc:AlternateContent>
  <xr:revisionPtr revIDLastSave="0" documentId="8_{57759055-95D4-4C03-8FB2-FB99FF36E5CA}" xr6:coauthVersionLast="47" xr6:coauthVersionMax="47" xr10:uidLastSave="{00000000-0000-0000-0000-000000000000}"/>
  <bookViews>
    <workbookView xWindow="-108" yWindow="-108" windowWidth="23256" windowHeight="12456" activeTab="1" xr2:uid="{6BBE6778-09BD-4686-A1F2-7BCF450A1C49}"/>
  </bookViews>
  <sheets>
    <sheet name="Kostprijs Drukknop " sheetId="1" r:id="rId1"/>
    <sheet name="Kostprijs joysti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2" l="1"/>
  <c r="F36" i="2"/>
  <c r="E34" i="2"/>
  <c r="E19" i="2" l="1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18" i="2"/>
  <c r="E15" i="1"/>
  <c r="E12" i="1"/>
  <c r="E11" i="1"/>
  <c r="E10" i="1"/>
  <c r="E9" i="1"/>
  <c r="E8" i="1"/>
  <c r="E7" i="1"/>
  <c r="E6" i="1"/>
  <c r="E5" i="1"/>
  <c r="E4" i="1"/>
  <c r="F15" i="1"/>
</calcChain>
</file>

<file path=xl/sharedStrings.xml><?xml version="1.0" encoding="utf-8"?>
<sst xmlns="http://schemas.openxmlformats.org/spreadsheetml/2006/main" count="111" uniqueCount="59">
  <si>
    <t>Product</t>
  </si>
  <si>
    <t>Aantal</t>
  </si>
  <si>
    <t>Leverancier</t>
  </si>
  <si>
    <t>Prijs excl BTW</t>
  </si>
  <si>
    <t>Prijs incl BTW</t>
  </si>
  <si>
    <t>Link</t>
  </si>
  <si>
    <t>/</t>
  </si>
  <si>
    <t>Seconden Epoxylijm</t>
  </si>
  <si>
    <t>Buizenklem 32mm</t>
  </si>
  <si>
    <t>Buizenklem 25mm</t>
  </si>
  <si>
    <t>Buizenklem 20mm</t>
  </si>
  <si>
    <t>Rubber (l=86,8cm; b=8cm)</t>
  </si>
  <si>
    <t>Bouten M6 20cm</t>
  </si>
  <si>
    <t>Zeskantdopmoer M6</t>
  </si>
  <si>
    <t>3D-prints</t>
  </si>
  <si>
    <t>Lasercutten</t>
  </si>
  <si>
    <t>Kill switch</t>
  </si>
  <si>
    <t>Hubo</t>
  </si>
  <si>
    <t>https://www.hubo.be/nl/p/astore-buisklem-32mm-polypropyleen/890700/</t>
  </si>
  <si>
    <t>https://www.hubo.be/nl/p/buisklem-pp-25mm/972187/</t>
  </si>
  <si>
    <t>https://www.hubo.be/nl/p/scala-buisklem-20mm-polypropyleen/994224/</t>
  </si>
  <si>
    <t>https://www.hubo.be/nl/p/mack-binnenzeskantbout-m6-20mm-verzinkt-7-stuks/208802/</t>
  </si>
  <si>
    <t>x</t>
  </si>
  <si>
    <t>https://www.hubo.be/nl/p/pgb-fasteners-zeskantdopmoer-din1587-m6-zwart-12-stuks/1057451/</t>
  </si>
  <si>
    <t>Grondplaat voor stoel + zijkant platen</t>
  </si>
  <si>
    <t>1 + 2</t>
  </si>
  <si>
    <t>https://www.hubo.be/nl/p/pattex-super-mix-universal-mini-epoxy-colle-bi-composant-6ml/249565/#specs</t>
  </si>
  <si>
    <t>Verhoogstuk voor stoel + vervanging gaspedaal + vervanging HIGH SPEED LOW SPEED knop</t>
  </si>
  <si>
    <t>https://www.hubo.be/nl/p/rubbermat-op-rol-traanplaat-1-5m-per-lopende-meter/131516/</t>
  </si>
  <si>
    <t>Leveranciers</t>
  </si>
  <si>
    <t>Prijs exl BTW</t>
  </si>
  <si>
    <t>3D print</t>
  </si>
  <si>
    <t>Lasercutter</t>
  </si>
  <si>
    <t>Kolom9</t>
  </si>
  <si>
    <t>Kolom10</t>
  </si>
  <si>
    <t>Kolom11</t>
  </si>
  <si>
    <t>Joystick</t>
  </si>
  <si>
    <t>Conrad</t>
  </si>
  <si>
    <t>DC Motor</t>
  </si>
  <si>
    <t>TinyTronics</t>
  </si>
  <si>
    <t>Esp32</t>
  </si>
  <si>
    <t>24V module</t>
  </si>
  <si>
    <t>Amazon.nl</t>
  </si>
  <si>
    <t>H-brug</t>
  </si>
  <si>
    <t>Otronic</t>
  </si>
  <si>
    <t>Assen koppeling</t>
  </si>
  <si>
    <t>3D prints (gaspedaal,knop,knop2,houder,stoel)</t>
  </si>
  <si>
    <t>Motedis</t>
  </si>
  <si>
    <t>https://www.tinytronics.nl/nl/mechanica-en-actuatoren/motoren/dc-motoren/aslong-pg42-775-transmissiemotor-24v-dc-90rpm</t>
  </si>
  <si>
    <t>https://www.tinytronics.nl/nl/development-boards/microcontroller-boards/met-wi-fi/lilygo-ttgo-t-display-v1.1-esp32-met-1.14-inch-tft-display</t>
  </si>
  <si>
    <t>https://www.amazon.nl/gp/product/B07JLTTZXL?smid=A3U3NV7MT8POQS&amp;psc=1</t>
  </si>
  <si>
    <t>https://www.otronic.nl/nl/l298n-motor-driver-board-rood.html?source=googlebase</t>
  </si>
  <si>
    <t>https://www.conrad.be/nl/p/joy-it-arcade-joystick-professional-8-invoerapparaat-geschikt-voor-arduino-banana-pi-cubieboard-pcduino-raspberry-pi-1555268.html?cq_src=google_ads&amp;cq_cmp=21348122838&amp;cq_term=&amp;cq_plac=&amp;cq_net=x&amp;cq_plt=gp&amp;utm_source=google&amp;utm_medium=cpc&amp;utm_campaign=BE+-+PMAX+-+Nonbrand+-+Zero+traffic&amp;utm_id=21348122838</t>
  </si>
  <si>
    <t>https://github.com/vives-project-xp/GoBabyGoXL/tree/main/3d-prints</t>
  </si>
  <si>
    <t>https://github.com/vives-project-xp/GoBabyGoXL/tree/main/Lasercutten</t>
  </si>
  <si>
    <t>www.motedis.be/nl/Assen-Koppelingen-flexibel-Mot-D25L30-8-12mm</t>
  </si>
  <si>
    <t>Totaal</t>
  </si>
  <si>
    <t>24v naar 12v</t>
  </si>
  <si>
    <t>https://www.reichelt.com/be/nl/shop/product/dc_dc-converter_12_7_v_5_a-300230?PROVID=2812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</si>
</sst>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 &quot;€&quot;\ * #,##0.00_ ;_ &quot;€&quot;\ * \-#,##0.00_ ;_ &quot;€&quot;\ * &quot;-&quot;??_ ;_ @_ "/>
    <numFmt numFmtId="165" formatCode="_ [$€-813]\ * #,##0.00_ ;_ [$€-813]\ * \-#,##0.00_ ;_ [$€-813]\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56082"/>
        <bgColor rgb="FF156082"/>
      </patternFill>
    </fill>
    <fill>
      <patternFill patternType="solid">
        <fgColor rgb="FF83CCEB"/>
        <bgColor rgb="FF83CCEB"/>
      </patternFill>
    </fill>
    <fill>
      <patternFill patternType="solid">
        <fgColor rgb="FFC0E6F5"/>
        <bgColor rgb="FFC0E6F5"/>
      </patternFill>
    </fill>
    <fill>
      <patternFill patternType="solid">
        <fgColor theme="4" tint="0.59999389629810485"/>
        <bgColor rgb="FF83CCEB"/>
      </patternFill>
    </fill>
    <fill>
      <patternFill patternType="solid">
        <fgColor theme="4" tint="0.79998168889431442"/>
        <bgColor rgb="FFC0E6F5"/>
      </patternFill>
    </fill>
    <fill>
      <patternFill patternType="solid">
        <fgColor theme="4" tint="0.79998168889431442"/>
        <bgColor rgb="FF83CCEB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79998168889431442"/>
        <bgColor theme="4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Font="1"/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0" fontId="3" fillId="0" borderId="0" xfId="0" applyFont="1"/>
    <xf numFmtId="0" fontId="4" fillId="4" borderId="6" xfId="0" applyFont="1" applyFill="1" applyBorder="1"/>
    <xf numFmtId="0" fontId="4" fillId="4" borderId="7" xfId="0" applyFont="1" applyFill="1" applyBorder="1"/>
    <xf numFmtId="0" fontId="4" fillId="4" borderId="8" xfId="0" applyFont="1" applyFill="1" applyBorder="1"/>
    <xf numFmtId="0" fontId="5" fillId="5" borderId="10" xfId="0" applyFont="1" applyFill="1" applyBorder="1"/>
    <xf numFmtId="0" fontId="5" fillId="5" borderId="11" xfId="0" applyFont="1" applyFill="1" applyBorder="1"/>
    <xf numFmtId="0" fontId="5" fillId="6" borderId="10" xfId="0" applyFont="1" applyFill="1" applyBorder="1"/>
    <xf numFmtId="0" fontId="5" fillId="6" borderId="11" xfId="0" applyFont="1" applyFill="1" applyBorder="1"/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5" fillId="5" borderId="9" xfId="0" applyFont="1" applyFill="1" applyBorder="1" applyAlignment="1">
      <alignment horizontal="left"/>
    </xf>
    <xf numFmtId="0" fontId="5" fillId="5" borderId="10" xfId="0" applyFont="1" applyFill="1" applyBorder="1" applyAlignment="1">
      <alignment horizontal="left"/>
    </xf>
    <xf numFmtId="44" fontId="5" fillId="5" borderId="10" xfId="0" applyNumberFormat="1" applyFont="1" applyFill="1" applyBorder="1" applyAlignment="1">
      <alignment horizontal="left"/>
    </xf>
    <xf numFmtId="165" fontId="5" fillId="5" borderId="10" xfId="0" applyNumberFormat="1" applyFont="1" applyFill="1" applyBorder="1" applyAlignment="1">
      <alignment horizontal="left"/>
    </xf>
    <xf numFmtId="0" fontId="5" fillId="6" borderId="9" xfId="0" applyFont="1" applyFill="1" applyBorder="1" applyAlignment="1">
      <alignment horizontal="left"/>
    </xf>
    <xf numFmtId="0" fontId="5" fillId="6" borderId="10" xfId="0" applyFont="1" applyFill="1" applyBorder="1" applyAlignment="1">
      <alignment horizontal="left"/>
    </xf>
    <xf numFmtId="165" fontId="5" fillId="6" borderId="10" xfId="0" applyNumberFormat="1" applyFont="1" applyFill="1" applyBorder="1" applyAlignment="1">
      <alignment horizontal="left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164" fontId="0" fillId="2" borderId="1" xfId="1" applyFont="1" applyFill="1" applyBorder="1" applyAlignment="1">
      <alignment horizontal="left"/>
    </xf>
    <xf numFmtId="0" fontId="0" fillId="3" borderId="4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164" fontId="0" fillId="3" borderId="1" xfId="1" applyFont="1" applyFill="1" applyBorder="1" applyAlignment="1">
      <alignment horizontal="left"/>
    </xf>
    <xf numFmtId="164" fontId="5" fillId="6" borderId="10" xfId="0" applyNumberFormat="1" applyFont="1" applyFill="1" applyBorder="1" applyAlignment="1">
      <alignment horizontal="left"/>
    </xf>
    <xf numFmtId="164" fontId="0" fillId="3" borderId="3" xfId="1" applyFont="1" applyFill="1" applyBorder="1" applyAlignment="1">
      <alignment horizontal="left"/>
    </xf>
    <xf numFmtId="164" fontId="0" fillId="0" borderId="0" xfId="0" applyNumberFormat="1"/>
    <xf numFmtId="0" fontId="6" fillId="3" borderId="1" xfId="2" applyFill="1" applyBorder="1" applyAlignment="1">
      <alignment horizontal="left"/>
    </xf>
    <xf numFmtId="0" fontId="6" fillId="6" borderId="10" xfId="2" applyFill="1" applyBorder="1" applyAlignment="1">
      <alignment horizontal="left"/>
    </xf>
    <xf numFmtId="0" fontId="6" fillId="2" borderId="1" xfId="2" applyFill="1" applyBorder="1" applyAlignment="1">
      <alignment horizontal="left"/>
    </xf>
    <xf numFmtId="0" fontId="6" fillId="5" borderId="10" xfId="2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44" fontId="0" fillId="0" borderId="0" xfId="0" applyNumberFormat="1"/>
    <xf numFmtId="0" fontId="5" fillId="7" borderId="10" xfId="0" applyFont="1" applyFill="1" applyBorder="1" applyAlignment="1">
      <alignment horizontal="left"/>
    </xf>
    <xf numFmtId="0" fontId="5" fillId="8" borderId="10" xfId="0" applyFont="1" applyFill="1" applyBorder="1" applyAlignment="1">
      <alignment horizontal="left"/>
    </xf>
    <xf numFmtId="44" fontId="5" fillId="9" borderId="10" xfId="0" applyNumberFormat="1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164" fontId="0" fillId="11" borderId="1" xfId="1" applyFont="1" applyFill="1" applyBorder="1" applyAlignment="1">
      <alignment horizontal="left"/>
    </xf>
    <xf numFmtId="0" fontId="6" fillId="11" borderId="1" xfId="2" applyFill="1" applyBorder="1" applyAlignment="1">
      <alignment horizontal="left"/>
    </xf>
    <xf numFmtId="0" fontId="0" fillId="11" borderId="2" xfId="0" applyFill="1" applyBorder="1" applyAlignment="1">
      <alignment horizontal="center"/>
    </xf>
    <xf numFmtId="0" fontId="5" fillId="8" borderId="10" xfId="0" applyFont="1" applyFill="1" applyBorder="1"/>
    <xf numFmtId="0" fontId="5" fillId="8" borderId="11" xfId="0" applyFont="1" applyFill="1" applyBorder="1"/>
    <xf numFmtId="0" fontId="0" fillId="12" borderId="0" xfId="0" applyFill="1"/>
    <xf numFmtId="0" fontId="0" fillId="10" borderId="4" xfId="0" applyFill="1" applyBorder="1" applyAlignment="1">
      <alignment horizontal="left" vertical="center"/>
    </xf>
    <xf numFmtId="0" fontId="0" fillId="10" borderId="1" xfId="0" applyFill="1" applyBorder="1" applyAlignment="1">
      <alignment horizontal="left"/>
    </xf>
    <xf numFmtId="44" fontId="5" fillId="7" borderId="10" xfId="0" applyNumberFormat="1" applyFont="1" applyFill="1" applyBorder="1" applyAlignment="1">
      <alignment horizontal="left"/>
    </xf>
    <xf numFmtId="164" fontId="0" fillId="10" borderId="1" xfId="1" applyFont="1" applyFill="1" applyBorder="1" applyAlignment="1">
      <alignment horizontal="left"/>
    </xf>
    <xf numFmtId="0" fontId="6" fillId="10" borderId="1" xfId="2" applyFill="1" applyBorder="1" applyAlignment="1">
      <alignment horizontal="left"/>
    </xf>
    <xf numFmtId="0" fontId="0" fillId="10" borderId="2" xfId="0" applyFill="1" applyBorder="1" applyAlignment="1">
      <alignment horizontal="center"/>
    </xf>
    <xf numFmtId="0" fontId="5" fillId="7" borderId="10" xfId="0" applyFont="1" applyFill="1" applyBorder="1"/>
    <xf numFmtId="0" fontId="5" fillId="7" borderId="11" xfId="0" applyFont="1" applyFill="1" applyBorder="1"/>
    <xf numFmtId="0" fontId="0" fillId="13" borderId="0" xfId="0" applyFill="1"/>
    <xf numFmtId="0" fontId="0" fillId="10" borderId="5" xfId="0" applyFill="1" applyBorder="1" applyAlignment="1">
      <alignment horizontal="left" vertical="center"/>
    </xf>
    <xf numFmtId="0" fontId="0" fillId="10" borderId="3" xfId="0" applyFill="1" applyBorder="1" applyAlignment="1">
      <alignment horizontal="left"/>
    </xf>
    <xf numFmtId="164" fontId="0" fillId="10" borderId="3" xfId="1" applyFont="1" applyFill="1" applyBorder="1" applyAlignment="1">
      <alignment horizontal="left"/>
    </xf>
    <xf numFmtId="0" fontId="5" fillId="6" borderId="12" xfId="0" applyFont="1" applyFill="1" applyBorder="1" applyAlignment="1">
      <alignment horizontal="left"/>
    </xf>
    <xf numFmtId="0" fontId="5" fillId="7" borderId="9" xfId="0" applyFont="1" applyFill="1" applyBorder="1" applyAlignment="1">
      <alignment horizontal="left"/>
    </xf>
    <xf numFmtId="0" fontId="0" fillId="11" borderId="13" xfId="0" applyFill="1" applyBorder="1" applyAlignment="1">
      <alignment horizontal="left" vertical="center"/>
    </xf>
    <xf numFmtId="0" fontId="5" fillId="7" borderId="0" xfId="0" applyFont="1" applyFill="1" applyAlignment="1">
      <alignment horizontal="left"/>
    </xf>
    <xf numFmtId="0" fontId="5" fillId="6" borderId="10" xfId="0" applyFont="1" applyFill="1" applyBorder="1" applyAlignment="1">
      <alignment horizontal="center"/>
    </xf>
  </cellXfs>
  <cellStyles count="3">
    <cellStyle name="Hyperlink" xfId="2" builtinId="8"/>
    <cellStyle name="Standaard" xfId="0" builtinId="0"/>
    <cellStyle name="Valuta" xfId="1" builtinId="4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655D2-F6AD-4E06-81DF-FD626DD7A1C9}" name="Tabel1" displayName="Tabel1" ref="B3:I13" totalsRowShown="0">
  <autoFilter ref="B3:I13" xr:uid="{B1E655D2-F6AD-4E06-81DF-FD626DD7A1C9}"/>
  <tableColumns count="8">
    <tableColumn id="1" xr3:uid="{FAA2A18D-3601-4945-AAC8-636558886C95}" name="Aantal"/>
    <tableColumn id="2" xr3:uid="{271D1F73-9EE8-4A96-AFED-3532FF892D07}" name="Product"/>
    <tableColumn id="3" xr3:uid="{4C6AC8C7-67D8-4AD8-BE36-EA3A8D707862}" name="Leverancier"/>
    <tableColumn id="4" xr3:uid="{CFAF28CF-E52B-4D53-8AB7-1D1300A9FE64}" name="Prijs excl BTW" dataCellStyle="Valuta"/>
    <tableColumn id="5" xr3:uid="{50850564-D5BE-4B80-94F9-B47B30C3E796}" name="Prijs incl BTW" dataCellStyle="Valuta"/>
    <tableColumn id="6" xr3:uid="{4729B3E1-24DB-4CEC-AAE4-684010F9DC2E}" name="Link"/>
    <tableColumn id="12" xr3:uid="{4299CF5D-9500-4F53-9506-1D05632030C8}" name="3D-prints" dataDxfId="1"/>
    <tableColumn id="13" xr3:uid="{C2B7F1C1-E609-4508-A7DE-6E4FB2C5E2BC}" name="Lasercutte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ubo.be/nl/p/astore-buisklem-32mm-polypropyleen/890700/" TargetMode="External"/><Relationship Id="rId13" Type="http://schemas.openxmlformats.org/officeDocument/2006/relationships/hyperlink" Target="https://www.tinytronics.nl/nl/mechanica-en-actuatoren/motoren/dc-motoren/aslong-pg42-775-transmissiemotor-24v-dc-90rpm" TargetMode="External"/><Relationship Id="rId3" Type="http://schemas.openxmlformats.org/officeDocument/2006/relationships/hyperlink" Target="https://www.hubo.be/nl/p/pgb-fasteners-zeskantdopmoer-din1587-m6-zwart-12-stuks/1057451/" TargetMode="External"/><Relationship Id="rId7" Type="http://schemas.openxmlformats.org/officeDocument/2006/relationships/hyperlink" Target="https://www.hubo.be/nl/p/buisklem-pp-25mm/972187/" TargetMode="External"/><Relationship Id="rId12" Type="http://schemas.openxmlformats.org/officeDocument/2006/relationships/hyperlink" Target="https://www.tinytronics.nl/nl/development-boards/microcontroller-boards/met-wi-fi/lilygo-ttgo-t-display-v1.1-esp32-met-1.14-inch-tft-display" TargetMode="External"/><Relationship Id="rId2" Type="http://schemas.openxmlformats.org/officeDocument/2006/relationships/hyperlink" Target="https://github.com/vives-project-xp/GoBabyGoXL/tree/main/3d-prints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www.motedis.be/nl/Assen-Koppelingen-flexibel-Mot-D25L30-8-12mm" TargetMode="External"/><Relationship Id="rId6" Type="http://schemas.openxmlformats.org/officeDocument/2006/relationships/hyperlink" Target="https://www.hubo.be/nl/p/scala-buisklem-20mm-polypropyleen/994224/" TargetMode="External"/><Relationship Id="rId11" Type="http://schemas.openxmlformats.org/officeDocument/2006/relationships/hyperlink" Target="https://www.amazon.nl/gp/product/B07JLTTZXL?smid=A3U3NV7MT8POQS&amp;psc=1" TargetMode="External"/><Relationship Id="rId5" Type="http://schemas.openxmlformats.org/officeDocument/2006/relationships/hyperlink" Target="https://www.hubo.be/nl/p/rubbermat-op-rol-traanplaat-1-5m-per-lopende-meter/131516/" TargetMode="External"/><Relationship Id="rId15" Type="http://schemas.openxmlformats.org/officeDocument/2006/relationships/hyperlink" Target="https://www.reichelt.com/be/nl/shop/product/dc_dc-converter_12_7_v_5_a-300230?PROVID=2812" TargetMode="External"/><Relationship Id="rId10" Type="http://schemas.openxmlformats.org/officeDocument/2006/relationships/hyperlink" Target="https://www.otronic.nl/nl/l298n-motor-driver-board-rood.html?source=googlebase" TargetMode="External"/><Relationship Id="rId4" Type="http://schemas.openxmlformats.org/officeDocument/2006/relationships/hyperlink" Target="https://www.hubo.be/nl/p/mack-binnenzeskantbout-m6-20mm-verzinkt-7-stuks/208802/" TargetMode="External"/><Relationship Id="rId9" Type="http://schemas.openxmlformats.org/officeDocument/2006/relationships/hyperlink" Target="https://www.hubo.be/nl/p/pattex-super-mix-universal-mini-epoxy-colle-bi-composant-6ml/249565/" TargetMode="External"/><Relationship Id="rId14" Type="http://schemas.openxmlformats.org/officeDocument/2006/relationships/hyperlink" Target="https://www.conrad.be/nl/p/joy-it-arcade-joystick-professional-8-invoerapparaat-geschikt-voor-arduino-banana-pi-cubieboard-pcduino-raspberry-pi-1555268.html?cq_src=google_ads&amp;cq_cmp=21348122838&amp;cq_term=&amp;cq_plac=&amp;cq_net=x&amp;cq_plt=gp&amp;utm_source=google&amp;utm_medium=cpc&amp;utm_campaign=BE+-+PMAX+-+Nonbrand+-+Zero+traffic&amp;utm_id=213481228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613F-09D4-4D8F-8387-9B42D74CA9CF}">
  <dimension ref="B3:I15"/>
  <sheetViews>
    <sheetView topLeftCell="B1" workbookViewId="0">
      <selection activeCell="E8" sqref="E8"/>
    </sheetView>
  </sheetViews>
  <sheetFormatPr defaultRowHeight="14.4" x14ac:dyDescent="0.3"/>
  <cols>
    <col min="3" max="3" width="74" bestFit="1" customWidth="1"/>
    <col min="4" max="4" width="12.88671875" bestFit="1" customWidth="1"/>
    <col min="5" max="5" width="14.77734375" bestFit="1" customWidth="1"/>
    <col min="6" max="6" width="14.44140625" bestFit="1" customWidth="1"/>
    <col min="7" max="7" width="88.44140625" bestFit="1" customWidth="1"/>
    <col min="8" max="8" width="11" bestFit="1" customWidth="1"/>
    <col min="9" max="9" width="13" bestFit="1" customWidth="1"/>
  </cols>
  <sheetData>
    <row r="3" spans="2:9" x14ac:dyDescent="0.3">
      <c r="B3" t="s">
        <v>1</v>
      </c>
      <c r="C3" t="s">
        <v>0</v>
      </c>
      <c r="D3" t="s">
        <v>2</v>
      </c>
      <c r="E3" t="s">
        <v>3</v>
      </c>
      <c r="F3" t="s">
        <v>4</v>
      </c>
      <c r="G3" t="s">
        <v>5</v>
      </c>
      <c r="H3" t="s">
        <v>14</v>
      </c>
      <c r="I3" t="s">
        <v>15</v>
      </c>
    </row>
    <row r="4" spans="2:9" x14ac:dyDescent="0.3">
      <c r="B4" s="1">
        <v>2</v>
      </c>
      <c r="C4" t="s">
        <v>7</v>
      </c>
      <c r="D4" t="s">
        <v>17</v>
      </c>
      <c r="E4" s="2">
        <f>Tabel1[[#This Row],[Prijs incl BTW]]/1.21</f>
        <v>7.7603305785123977</v>
      </c>
      <c r="F4" s="2">
        <v>9.39</v>
      </c>
      <c r="G4" t="s">
        <v>26</v>
      </c>
      <c r="H4" s="3"/>
      <c r="I4" s="3"/>
    </row>
    <row r="5" spans="2:9" x14ac:dyDescent="0.3">
      <c r="B5" s="1">
        <v>4</v>
      </c>
      <c r="C5" t="s">
        <v>8</v>
      </c>
      <c r="D5" t="s">
        <v>17</v>
      </c>
      <c r="E5" s="2">
        <f>Tabel1[[#This Row],[Prijs incl BTW]]/1.21</f>
        <v>2.9421487603305785</v>
      </c>
      <c r="F5" s="2">
        <v>3.56</v>
      </c>
      <c r="G5" t="s">
        <v>18</v>
      </c>
      <c r="H5" s="3"/>
      <c r="I5" s="3"/>
    </row>
    <row r="6" spans="2:9" x14ac:dyDescent="0.3">
      <c r="B6" s="1">
        <v>6</v>
      </c>
      <c r="C6" t="s">
        <v>9</v>
      </c>
      <c r="D6" t="s">
        <v>17</v>
      </c>
      <c r="E6" s="2">
        <f>Tabel1[[#This Row],[Prijs incl BTW]]/1.21</f>
        <v>3.9173553719008267</v>
      </c>
      <c r="F6" s="2">
        <v>4.74</v>
      </c>
      <c r="G6" t="s">
        <v>19</v>
      </c>
      <c r="H6" s="3"/>
      <c r="I6" s="3"/>
    </row>
    <row r="7" spans="2:9" x14ac:dyDescent="0.3">
      <c r="B7" s="1">
        <v>2</v>
      </c>
      <c r="C7" t="s">
        <v>10</v>
      </c>
      <c r="D7" t="s">
        <v>17</v>
      </c>
      <c r="E7" s="2">
        <f>Tabel1[[#This Row],[Prijs incl BTW]]/1.21</f>
        <v>1.3057851239669422</v>
      </c>
      <c r="F7" s="2">
        <v>1.58</v>
      </c>
      <c r="G7" t="s">
        <v>20</v>
      </c>
      <c r="H7" s="3"/>
      <c r="I7" s="3"/>
    </row>
    <row r="8" spans="2:9" x14ac:dyDescent="0.3">
      <c r="B8" s="1">
        <v>2</v>
      </c>
      <c r="C8" t="s">
        <v>11</v>
      </c>
      <c r="D8" t="s">
        <v>17</v>
      </c>
      <c r="E8" s="2">
        <f>Tabel1[[#This Row],[Prijs incl BTW]]/1.21</f>
        <v>2.8181818181818183</v>
      </c>
      <c r="F8" s="2">
        <v>3.41</v>
      </c>
      <c r="G8" t="s">
        <v>28</v>
      </c>
      <c r="H8" s="3"/>
      <c r="I8" s="3"/>
    </row>
    <row r="9" spans="2:9" x14ac:dyDescent="0.3">
      <c r="B9" s="1">
        <v>12</v>
      </c>
      <c r="C9" t="s">
        <v>12</v>
      </c>
      <c r="D9" t="s">
        <v>17</v>
      </c>
      <c r="E9" s="2">
        <f>Tabel1[[#This Row],[Prijs incl BTW]]/1.21</f>
        <v>8.5785123966942152</v>
      </c>
      <c r="F9" s="2">
        <v>10.38</v>
      </c>
      <c r="G9" t="s">
        <v>21</v>
      </c>
      <c r="H9" s="3"/>
      <c r="I9" s="3"/>
    </row>
    <row r="10" spans="2:9" x14ac:dyDescent="0.3">
      <c r="B10" s="1">
        <v>12</v>
      </c>
      <c r="C10" t="s">
        <v>13</v>
      </c>
      <c r="D10" t="s">
        <v>17</v>
      </c>
      <c r="E10" s="2">
        <f>Tabel1[[#This Row],[Prijs incl BTW]]/1.21</f>
        <v>2.2231404958677685</v>
      </c>
      <c r="F10" s="2">
        <v>2.69</v>
      </c>
      <c r="G10" t="s">
        <v>23</v>
      </c>
      <c r="H10" s="3"/>
      <c r="I10" s="3"/>
    </row>
    <row r="11" spans="2:9" x14ac:dyDescent="0.3">
      <c r="B11" s="1" t="s">
        <v>25</v>
      </c>
      <c r="C11" t="s">
        <v>24</v>
      </c>
      <c r="D11" s="3" t="s">
        <v>6</v>
      </c>
      <c r="E11" s="4">
        <f>Tabel1[[#This Row],[Prijs incl BTW]]/1.21</f>
        <v>8.2644628099173563</v>
      </c>
      <c r="F11" s="2">
        <v>10</v>
      </c>
      <c r="G11" s="35" t="s">
        <v>54</v>
      </c>
      <c r="H11" s="3"/>
      <c r="I11" s="3" t="s">
        <v>22</v>
      </c>
    </row>
    <row r="12" spans="2:9" x14ac:dyDescent="0.3">
      <c r="B12" s="1">
        <v>1</v>
      </c>
      <c r="C12" t="s">
        <v>27</v>
      </c>
      <c r="D12" s="3" t="s">
        <v>6</v>
      </c>
      <c r="E12" s="4">
        <f>Tabel1[[#This Row],[Prijs incl BTW]]/1.21</f>
        <v>11.900826446280993</v>
      </c>
      <c r="F12" s="2">
        <v>14.4</v>
      </c>
      <c r="G12" s="35" t="s">
        <v>53</v>
      </c>
      <c r="H12" s="3" t="s">
        <v>22</v>
      </c>
      <c r="I12" s="3"/>
    </row>
    <row r="13" spans="2:9" x14ac:dyDescent="0.3">
      <c r="B13" s="1">
        <v>1</v>
      </c>
      <c r="C13" t="s">
        <v>16</v>
      </c>
      <c r="D13" s="3" t="s">
        <v>6</v>
      </c>
      <c r="E13" s="4" t="s">
        <v>6</v>
      </c>
      <c r="F13" s="4" t="s">
        <v>6</v>
      </c>
      <c r="G13" s="3" t="s">
        <v>6</v>
      </c>
      <c r="H13" s="3"/>
      <c r="I13" s="3"/>
    </row>
    <row r="15" spans="2:9" x14ac:dyDescent="0.3">
      <c r="D15" s="5" t="s">
        <v>56</v>
      </c>
      <c r="E15" s="30">
        <f>E4+E5+E6+E7+E8+E9+E10+E11+E12</f>
        <v>49.710743801652896</v>
      </c>
      <c r="F15" s="30">
        <f>F4+F5+F6+F7+F8+F9+F10+F11+F12</f>
        <v>60.15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4A7C-DBB6-4290-95C8-EB4ACD37EA26}">
  <dimension ref="B17:M36"/>
  <sheetViews>
    <sheetView tabSelected="1" topLeftCell="C14" zoomScale="101" zoomScaleNormal="100" workbookViewId="0">
      <selection activeCell="G36" sqref="G36"/>
    </sheetView>
  </sheetViews>
  <sheetFormatPr defaultRowHeight="14.4" x14ac:dyDescent="0.3"/>
  <cols>
    <col min="3" max="3" width="39.109375" bestFit="1" customWidth="1"/>
    <col min="4" max="4" width="12.88671875" bestFit="1" customWidth="1"/>
    <col min="5" max="5" width="14.77734375" bestFit="1" customWidth="1"/>
    <col min="6" max="6" width="14.44140625" bestFit="1" customWidth="1"/>
    <col min="7" max="7" width="117.21875" bestFit="1" customWidth="1"/>
    <col min="9" max="9" width="13" bestFit="1" customWidth="1"/>
  </cols>
  <sheetData>
    <row r="17" spans="2:13" ht="15" thickBot="1" x14ac:dyDescent="0.35">
      <c r="B17" s="6" t="s">
        <v>1</v>
      </c>
      <c r="C17" s="7" t="s">
        <v>0</v>
      </c>
      <c r="D17" s="7" t="s">
        <v>29</v>
      </c>
      <c r="E17" s="7" t="s">
        <v>30</v>
      </c>
      <c r="F17" s="7" t="s">
        <v>4</v>
      </c>
      <c r="G17" s="7" t="s">
        <v>5</v>
      </c>
      <c r="H17" s="7" t="s">
        <v>31</v>
      </c>
      <c r="I17" s="7" t="s">
        <v>32</v>
      </c>
      <c r="J17" s="7" t="s">
        <v>33</v>
      </c>
      <c r="K17" s="7" t="s">
        <v>34</v>
      </c>
      <c r="L17" s="8" t="s">
        <v>35</v>
      </c>
    </row>
    <row r="18" spans="2:13" ht="15" thickTop="1" x14ac:dyDescent="0.3">
      <c r="B18" s="15">
        <v>1</v>
      </c>
      <c r="C18" s="38" t="s">
        <v>36</v>
      </c>
      <c r="D18" s="16" t="s">
        <v>37</v>
      </c>
      <c r="E18" s="17">
        <f t="shared" ref="E18:E34" si="0">F18/121%</f>
        <v>7.8429752066115705</v>
      </c>
      <c r="F18" s="18">
        <v>9.49</v>
      </c>
      <c r="G18" s="34" t="s">
        <v>52</v>
      </c>
      <c r="H18" s="16"/>
      <c r="I18" s="9"/>
      <c r="J18" s="9"/>
      <c r="K18" s="9"/>
      <c r="L18" s="10"/>
    </row>
    <row r="19" spans="2:13" x14ac:dyDescent="0.3">
      <c r="B19" s="19">
        <v>1</v>
      </c>
      <c r="C19" s="20" t="s">
        <v>38</v>
      </c>
      <c r="D19" s="20" t="s">
        <v>39</v>
      </c>
      <c r="E19" s="40">
        <f t="shared" si="0"/>
        <v>26.446280991735538</v>
      </c>
      <c r="F19" s="21">
        <v>32</v>
      </c>
      <c r="G19" s="32" t="s">
        <v>48</v>
      </c>
      <c r="H19" s="20"/>
      <c r="I19" s="11"/>
      <c r="J19" s="11"/>
      <c r="K19" s="11"/>
      <c r="L19" s="12"/>
    </row>
    <row r="20" spans="2:13" x14ac:dyDescent="0.3">
      <c r="B20" s="15">
        <v>1</v>
      </c>
      <c r="C20" s="16" t="s">
        <v>40</v>
      </c>
      <c r="D20" s="16" t="s">
        <v>39</v>
      </c>
      <c r="E20" s="17">
        <f t="shared" si="0"/>
        <v>10.743801652892563</v>
      </c>
      <c r="F20" s="18">
        <v>13</v>
      </c>
      <c r="G20" s="34" t="s">
        <v>49</v>
      </c>
      <c r="H20" s="16"/>
      <c r="I20" s="9"/>
      <c r="J20" s="9"/>
      <c r="K20" s="9"/>
      <c r="L20" s="10"/>
    </row>
    <row r="21" spans="2:13" x14ac:dyDescent="0.3">
      <c r="B21" s="60">
        <v>1</v>
      </c>
      <c r="C21" s="39" t="s">
        <v>41</v>
      </c>
      <c r="D21" s="20" t="s">
        <v>42</v>
      </c>
      <c r="E21" s="40">
        <f t="shared" si="0"/>
        <v>3.71900826446281</v>
      </c>
      <c r="F21" s="21">
        <v>4.5</v>
      </c>
      <c r="G21" s="32" t="s">
        <v>50</v>
      </c>
      <c r="H21" s="20"/>
      <c r="I21" s="11"/>
      <c r="J21" s="11"/>
      <c r="K21" s="11"/>
      <c r="L21" s="12"/>
    </row>
    <row r="22" spans="2:13" x14ac:dyDescent="0.3">
      <c r="B22" s="63">
        <v>1</v>
      </c>
      <c r="C22" s="61" t="s">
        <v>43</v>
      </c>
      <c r="D22" s="16" t="s">
        <v>44</v>
      </c>
      <c r="E22" s="17">
        <f t="shared" si="0"/>
        <v>2.1487603305785123</v>
      </c>
      <c r="F22" s="18">
        <v>2.6</v>
      </c>
      <c r="G22" s="34" t="s">
        <v>51</v>
      </c>
      <c r="H22" s="16"/>
      <c r="I22" s="9"/>
      <c r="J22" s="9"/>
      <c r="K22" s="9"/>
      <c r="L22" s="10"/>
    </row>
    <row r="23" spans="2:13" x14ac:dyDescent="0.3">
      <c r="B23" s="62">
        <v>2</v>
      </c>
      <c r="C23" s="41" t="s">
        <v>7</v>
      </c>
      <c r="D23" s="41" t="s">
        <v>17</v>
      </c>
      <c r="E23" s="40">
        <f t="shared" si="0"/>
        <v>7.7603305785123977</v>
      </c>
      <c r="F23" s="42">
        <v>9.39</v>
      </c>
      <c r="G23" s="43" t="s">
        <v>26</v>
      </c>
      <c r="H23" s="41"/>
      <c r="I23" s="44"/>
      <c r="J23" s="45"/>
      <c r="K23" s="45"/>
      <c r="L23" s="46"/>
      <c r="M23" s="47"/>
    </row>
    <row r="24" spans="2:13" x14ac:dyDescent="0.3">
      <c r="B24" s="48">
        <v>4</v>
      </c>
      <c r="C24" s="49" t="s">
        <v>8</v>
      </c>
      <c r="D24" s="49" t="s">
        <v>17</v>
      </c>
      <c r="E24" s="50">
        <f t="shared" si="0"/>
        <v>2.9421487603305785</v>
      </c>
      <c r="F24" s="51">
        <v>3.56</v>
      </c>
      <c r="G24" s="52" t="s">
        <v>18</v>
      </c>
      <c r="H24" s="49"/>
      <c r="I24" s="53"/>
      <c r="J24" s="54"/>
      <c r="K24" s="54"/>
      <c r="L24" s="55"/>
      <c r="M24" s="56"/>
    </row>
    <row r="25" spans="2:13" x14ac:dyDescent="0.3">
      <c r="B25" s="22">
        <v>6</v>
      </c>
      <c r="C25" s="23" t="s">
        <v>9</v>
      </c>
      <c r="D25" s="23" t="s">
        <v>17</v>
      </c>
      <c r="E25" s="17">
        <f t="shared" si="0"/>
        <v>3.9173553719008267</v>
      </c>
      <c r="F25" s="24">
        <v>4.74</v>
      </c>
      <c r="G25" s="33" t="s">
        <v>19</v>
      </c>
      <c r="H25" s="16"/>
      <c r="I25" s="9"/>
      <c r="J25" s="11"/>
      <c r="K25" s="11"/>
      <c r="L25" s="12"/>
    </row>
    <row r="26" spans="2:13" x14ac:dyDescent="0.3">
      <c r="B26" s="25">
        <v>2</v>
      </c>
      <c r="C26" s="26" t="s">
        <v>10</v>
      </c>
      <c r="D26" s="26" t="s">
        <v>17</v>
      </c>
      <c r="E26" s="40">
        <f t="shared" si="0"/>
        <v>1.3057851239669422</v>
      </c>
      <c r="F26" s="27">
        <v>1.58</v>
      </c>
      <c r="G26" s="31" t="s">
        <v>20</v>
      </c>
      <c r="H26" s="29"/>
      <c r="I26" s="29"/>
      <c r="J26" s="29"/>
      <c r="K26" s="29"/>
      <c r="L26" s="29"/>
    </row>
    <row r="27" spans="2:13" x14ac:dyDescent="0.3">
      <c r="B27" s="22">
        <v>2</v>
      </c>
      <c r="C27" s="23" t="s">
        <v>11</v>
      </c>
      <c r="D27" s="23" t="s">
        <v>17</v>
      </c>
      <c r="E27" s="17">
        <f t="shared" si="0"/>
        <v>2.8181818181818183</v>
      </c>
      <c r="F27" s="24">
        <v>3.41</v>
      </c>
      <c r="G27" s="33" t="s">
        <v>28</v>
      </c>
      <c r="H27" s="23"/>
      <c r="I27" s="13"/>
      <c r="J27" s="11"/>
      <c r="K27" s="11"/>
      <c r="L27" s="12"/>
    </row>
    <row r="28" spans="2:13" x14ac:dyDescent="0.3">
      <c r="B28" s="25">
        <v>12</v>
      </c>
      <c r="C28" s="26" t="s">
        <v>12</v>
      </c>
      <c r="D28" s="26" t="s">
        <v>17</v>
      </c>
      <c r="E28" s="40">
        <f t="shared" si="0"/>
        <v>8.5785123966942152</v>
      </c>
      <c r="F28" s="27">
        <v>10.38</v>
      </c>
      <c r="G28" s="31" t="s">
        <v>21</v>
      </c>
      <c r="H28" s="26"/>
      <c r="I28" s="14"/>
      <c r="J28" s="9"/>
      <c r="K28" s="9"/>
      <c r="L28" s="10"/>
    </row>
    <row r="29" spans="2:13" x14ac:dyDescent="0.3">
      <c r="B29" s="22">
        <v>12</v>
      </c>
      <c r="C29" s="23" t="s">
        <v>13</v>
      </c>
      <c r="D29" s="23" t="s">
        <v>17</v>
      </c>
      <c r="E29" s="17">
        <f t="shared" si="0"/>
        <v>2.2231404958677685</v>
      </c>
      <c r="F29" s="24">
        <v>2.69</v>
      </c>
      <c r="G29" s="33" t="s">
        <v>23</v>
      </c>
      <c r="H29" s="23"/>
      <c r="I29" s="13"/>
      <c r="J29" s="11"/>
      <c r="K29" s="11"/>
      <c r="L29" s="12"/>
    </row>
    <row r="30" spans="2:13" x14ac:dyDescent="0.3">
      <c r="B30" s="25" t="s">
        <v>25</v>
      </c>
      <c r="C30" s="26" t="s">
        <v>24</v>
      </c>
      <c r="D30" s="26" t="s">
        <v>6</v>
      </c>
      <c r="E30" s="40">
        <f t="shared" si="0"/>
        <v>8.2644628099173563</v>
      </c>
      <c r="F30" s="27">
        <v>10</v>
      </c>
      <c r="G30" s="31" t="s">
        <v>54</v>
      </c>
      <c r="H30" s="26"/>
      <c r="I30" s="14" t="s">
        <v>22</v>
      </c>
      <c r="J30" s="9"/>
      <c r="K30" s="9"/>
      <c r="L30" s="10"/>
    </row>
    <row r="31" spans="2:13" x14ac:dyDescent="0.3">
      <c r="B31" s="22">
        <v>1</v>
      </c>
      <c r="C31" s="23" t="s">
        <v>46</v>
      </c>
      <c r="D31" s="23" t="s">
        <v>6</v>
      </c>
      <c r="E31" s="17">
        <f t="shared" si="0"/>
        <v>11.900826446280993</v>
      </c>
      <c r="F31" s="24">
        <v>14.4</v>
      </c>
      <c r="G31" s="32" t="s">
        <v>53</v>
      </c>
      <c r="H31" s="64" t="s">
        <v>22</v>
      </c>
      <c r="I31" s="11"/>
      <c r="J31" s="11"/>
      <c r="K31" s="11"/>
      <c r="L31" s="12"/>
    </row>
    <row r="32" spans="2:13" x14ac:dyDescent="0.3">
      <c r="B32" s="19">
        <v>1</v>
      </c>
      <c r="C32" s="20" t="s">
        <v>45</v>
      </c>
      <c r="D32" s="20" t="s">
        <v>47</v>
      </c>
      <c r="E32" s="40">
        <f t="shared" si="0"/>
        <v>4.115702479338843</v>
      </c>
      <c r="F32" s="28">
        <v>4.9800000000000004</v>
      </c>
      <c r="G32" s="32" t="s">
        <v>55</v>
      </c>
      <c r="H32" s="20"/>
      <c r="I32" s="11"/>
      <c r="J32" s="11"/>
      <c r="K32" s="11"/>
      <c r="L32" s="12"/>
    </row>
    <row r="33" spans="2:12" x14ac:dyDescent="0.3">
      <c r="B33" s="57">
        <v>1</v>
      </c>
      <c r="C33" s="58" t="s">
        <v>16</v>
      </c>
      <c r="D33" s="58" t="s">
        <v>6</v>
      </c>
      <c r="E33" s="50" t="s">
        <v>6</v>
      </c>
      <c r="F33" s="59" t="s">
        <v>6</v>
      </c>
      <c r="G33" s="59"/>
      <c r="H33" s="38"/>
      <c r="I33" s="54"/>
      <c r="J33" s="54"/>
      <c r="K33" s="54"/>
      <c r="L33" s="55"/>
    </row>
    <row r="34" spans="2:12" x14ac:dyDescent="0.3">
      <c r="B34" s="25">
        <v>1</v>
      </c>
      <c r="C34" s="26" t="s">
        <v>57</v>
      </c>
      <c r="D34" s="26" t="s">
        <v>17</v>
      </c>
      <c r="E34" s="40">
        <f t="shared" si="0"/>
        <v>13</v>
      </c>
      <c r="F34" s="27">
        <v>15.73</v>
      </c>
      <c r="G34" s="31" t="s">
        <v>58</v>
      </c>
      <c r="H34" s="29"/>
      <c r="I34" s="29"/>
      <c r="J34" s="29"/>
      <c r="K34" s="29"/>
      <c r="L34" s="29"/>
    </row>
    <row r="36" spans="2:12" x14ac:dyDescent="0.3">
      <c r="D36" s="5" t="s">
        <v>56</v>
      </c>
      <c r="E36" s="37">
        <f>SUM(E18:E34)</f>
        <v>117.72727272727272</v>
      </c>
      <c r="F36" s="36">
        <f>SUM(F18:F34)</f>
        <v>142.44999999999999</v>
      </c>
    </row>
  </sheetData>
  <hyperlinks>
    <hyperlink ref="G32" r:id="rId1" xr:uid="{91AF0E4D-0B66-4490-8949-E61E96C0D925}"/>
    <hyperlink ref="G31" r:id="rId2" xr:uid="{BBF12D95-D91F-4C98-A715-0DE8270142A4}"/>
    <hyperlink ref="G29" r:id="rId3" xr:uid="{57C420C0-B3B7-4ED2-BAF7-5F19A9BFA22D}"/>
    <hyperlink ref="G28" r:id="rId4" xr:uid="{1BE91B72-2D55-4B8E-913D-579C10C2DBA7}"/>
    <hyperlink ref="G27" r:id="rId5" xr:uid="{D0135B53-7C60-4155-A60B-C8A15CFD9057}"/>
    <hyperlink ref="G26" r:id="rId6" xr:uid="{17E28638-7A04-450C-BFD3-67B3BCD019EA}"/>
    <hyperlink ref="G25" r:id="rId7" xr:uid="{EE5A967F-3977-4E2E-B263-7B2E056D99A5}"/>
    <hyperlink ref="G24" r:id="rId8" xr:uid="{CE9F2050-519A-45DB-9C91-FB5EFC57063E}"/>
    <hyperlink ref="G23" r:id="rId9" location="specs" xr:uid="{2B8E5082-4145-4FA9-8BC5-05F75E04EC60}"/>
    <hyperlink ref="G22" r:id="rId10" xr:uid="{927F8ED1-C57D-4C2D-877C-C62CD03A794B}"/>
    <hyperlink ref="G21" r:id="rId11" xr:uid="{12C2BDD4-4ABE-4494-A09F-972916249440}"/>
    <hyperlink ref="G20" r:id="rId12" xr:uid="{33EBD917-EB7D-4085-9BFD-E4BABC3BE500}"/>
    <hyperlink ref="G19" r:id="rId13" xr:uid="{7A4D4D23-B4BF-4B7B-9ADD-3A5A66F939BE}"/>
    <hyperlink ref="G18" r:id="rId14" display="https://www.conrad.be/nl/p/joy-it-arcade-joystick-professional-8-invoerapparaat-geschikt-voor-arduino-banana-pi-cubieboard-pcduino-raspberry-pi-1555268.html?cq_src=google_ads&amp;cq_cmp=21348122838&amp;cq_term=&amp;cq_plac=&amp;cq_net=x&amp;cq_plt=gp&amp;utm_source=google&amp;utm_medium=cpc&amp;utm_campaign=BE+-+PMAX+-+Nonbrand+-+Zero+traffic&amp;utm_id=21348122838" xr:uid="{3521EE42-5323-4D2D-BDDD-8AA927C20F6A}"/>
    <hyperlink ref="G34" r:id="rId15" xr:uid="{3F01237E-0241-45E4-8069-037F6378BE0D}"/>
  </hyperlinks>
  <pageMargins left="0.7" right="0.7" top="0.75" bottom="0.75" header="0.3" footer="0.3"/>
  <pageSetup paperSize="9" orientation="portrait" horizontalDpi="1200" verticalDpi="120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Kostprijs Drukknop </vt:lpstr>
      <vt:lpstr>Kostprijs joystick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Danaë Zutterman</dc:creator>
  <cp:lastModifiedBy>Maarten Audenaert</cp:lastModifiedBy>
  <dcterms:created xsi:type="dcterms:W3CDTF">2025-12-11T10:22:56Z</dcterms:created>
  <dcterms:modified xsi:type="dcterms:W3CDTF">2025-12-11T14:23:53Z</dcterms:modified>
</cp:coreProperties>
</file>